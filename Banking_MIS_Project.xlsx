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Dell\Downloads\"/>
    </mc:Choice>
  </mc:AlternateContent>
  <bookViews>
    <workbookView xWindow="0" yWindow="0" windowWidth="11010" windowHeight="2160" activeTab="1"/>
  </bookViews>
  <sheets>
    <sheet name="Sheet1" sheetId="1" r:id="rId1"/>
    <sheet name="Sheet5" sheetId="5" r:id="rId2"/>
    <sheet name="Sheet3" sheetId="3" r:id="rId3"/>
  </sheets>
  <definedNames>
    <definedName name="Slicer_Branch">#N/A</definedName>
    <definedName name="Slicer_Transaction_ID">#N/A</definedName>
  </definedNames>
  <calcPr calcId="152511"/>
  <pivotCaches>
    <pivotCache cacheId="14"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1" l="1"/>
</calcChain>
</file>

<file path=xl/sharedStrings.xml><?xml version="1.0" encoding="utf-8"?>
<sst xmlns="http://schemas.openxmlformats.org/spreadsheetml/2006/main" count="129" uniqueCount="60">
  <si>
    <t>Customer ID</t>
  </si>
  <si>
    <t>Customer Name</t>
  </si>
  <si>
    <t>Account Type</t>
  </si>
  <si>
    <t>Branch</t>
  </si>
  <si>
    <t>Phone</t>
  </si>
  <si>
    <t>Balance</t>
  </si>
  <si>
    <t>Status</t>
  </si>
  <si>
    <t>C101</t>
  </si>
  <si>
    <t>Ravi</t>
  </si>
  <si>
    <t>Chennai</t>
  </si>
  <si>
    <t>Active</t>
  </si>
  <si>
    <t>C102</t>
  </si>
  <si>
    <t>Current</t>
  </si>
  <si>
    <t>Coimbatore</t>
  </si>
  <si>
    <t>C103</t>
  </si>
  <si>
    <t>Arun</t>
  </si>
  <si>
    <t>Madurai</t>
  </si>
  <si>
    <t>C104</t>
  </si>
  <si>
    <t>Meena</t>
  </si>
  <si>
    <t>Saving</t>
  </si>
  <si>
    <t>inactive</t>
  </si>
  <si>
    <t>chennai</t>
  </si>
  <si>
    <t>NA</t>
  </si>
  <si>
    <t>saving</t>
  </si>
  <si>
    <t>priya</t>
  </si>
  <si>
    <t>Transaction ID</t>
  </si>
  <si>
    <t>Date</t>
  </si>
  <si>
    <t>Transaction Type</t>
  </si>
  <si>
    <t>Amount</t>
  </si>
  <si>
    <t>T1001</t>
  </si>
  <si>
    <t>Deposit</t>
  </si>
  <si>
    <t>T1002</t>
  </si>
  <si>
    <t>Withdrawal</t>
  </si>
  <si>
    <t>T1003</t>
  </si>
  <si>
    <t>Transfer</t>
  </si>
  <si>
    <t>T1004</t>
  </si>
  <si>
    <t>T1005</t>
  </si>
  <si>
    <t>T1006</t>
  </si>
  <si>
    <t>T1007</t>
  </si>
  <si>
    <t>T1008</t>
  </si>
  <si>
    <t>T1009</t>
  </si>
  <si>
    <t>T1010</t>
  </si>
  <si>
    <t>T1011</t>
  </si>
  <si>
    <t>T1012</t>
  </si>
  <si>
    <t>T1013</t>
  </si>
  <si>
    <t>T1014</t>
  </si>
  <si>
    <t>T1015</t>
  </si>
  <si>
    <t>T1016</t>
  </si>
  <si>
    <t>T1017</t>
  </si>
  <si>
    <t>T1018</t>
  </si>
  <si>
    <t>T1019</t>
  </si>
  <si>
    <t>T1020</t>
  </si>
  <si>
    <t>Row Labels</t>
  </si>
  <si>
    <t>Grand Total</t>
  </si>
  <si>
    <t>Column Labels</t>
  </si>
  <si>
    <t>Sum of Amount</t>
  </si>
  <si>
    <t>Banking Transaction Analysis, Data Cleaning &amp; MIS Dashboard using Advanced Excel</t>
  </si>
  <si>
    <t>Performed data cleaning and preprocessing on banking customer and transaction data using Advanced Excel.</t>
  </si>
  <si>
    <t>Created Pivot Tables, MIS reports, charts, and interactive dashboards for transaction analysis.</t>
  </si>
  <si>
    <t>Used Excel formulas, conditional formatting, slicers, and data validation for reporting and automation.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</si>
</sst>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1" fillId="0" borderId="0" xfId="0" applyFont="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vertical="center" wrapText="1"/>
    </xf>
    <xf numFmtId="0" fontId="0" fillId="0" borderId="5" xfId="0" applyBorder="1" applyAlignment="1">
      <alignment vertical="center" wrapText="1"/>
    </xf>
    <xf numFmtId="0" fontId="0" fillId="0" borderId="0" xfId="0" applyBorder="1" applyAlignment="1">
      <alignment horizont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7" xfId="0" applyNumberFormat="1" applyBorder="1" applyAlignment="1">
      <alignment vertical="center" wrapText="1"/>
    </xf>
    <xf numFmtId="0" fontId="0" fillId="0" borderId="8" xfId="0" applyBorder="1" applyAlignment="1">
      <alignment vertical="center" wrapText="1"/>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vertical="center"/>
    </xf>
  </cellXfs>
  <cellStyles count="1">
    <cellStyle name="Normal" xfId="0" builtinId="0"/>
  </cellStyles>
  <dxfs count="9">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[Banking_MIS_Project.xlsx]Sheet3!PivotTable5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Sheet3!$D$28:$D$29</c:f>
              <c:strCache>
                <c:ptCount val="1"/>
                <c:pt idx="0">
                  <c:v>Deposit</c:v>
                </c:pt>
              </c:strCache>
            </c:strRef>
          </c:tx>
          <c:spPr>
            <a:solidFill>
              <a:schemeClr val="accent1"/>
            </a:solidFill>
            <a:ln>
              <a:noFill/>
            </a:ln>
            <a:effectLst/>
          </c:spPr>
          <c:invertIfNegative val="0"/>
          <c:cat>
            <c:strRef>
              <c:f>Sheet3!$C$30:$C$33</c:f>
              <c:strCache>
                <c:ptCount val="3"/>
                <c:pt idx="0">
                  <c:v>Chennai</c:v>
                </c:pt>
                <c:pt idx="1">
                  <c:v>Coimbatore</c:v>
                </c:pt>
                <c:pt idx="2">
                  <c:v>Madurai</c:v>
                </c:pt>
              </c:strCache>
            </c:strRef>
          </c:cat>
          <c:val>
            <c:numRef>
              <c:f>Sheet3!$D$30:$D$33</c:f>
              <c:numCache>
                <c:formatCode>General</c:formatCode>
                <c:ptCount val="3"/>
                <c:pt idx="0">
                  <c:v>39000</c:v>
                </c:pt>
                <c:pt idx="1">
                  <c:v>55000</c:v>
                </c:pt>
                <c:pt idx="2">
                  <c:v>8500</c:v>
                </c:pt>
              </c:numCache>
            </c:numRef>
          </c:val>
        </c:ser>
        <c:ser>
          <c:idx val="1"/>
          <c:order val="1"/>
          <c:tx>
            <c:strRef>
              <c:f>Sheet3!$E$28:$E$29</c:f>
              <c:strCache>
                <c:ptCount val="1"/>
                <c:pt idx="0">
                  <c:v>Transfer</c:v>
                </c:pt>
              </c:strCache>
            </c:strRef>
          </c:tx>
          <c:spPr>
            <a:solidFill>
              <a:schemeClr val="accent2"/>
            </a:solidFill>
            <a:ln>
              <a:noFill/>
            </a:ln>
            <a:effectLst/>
          </c:spPr>
          <c:invertIfNegative val="0"/>
          <c:cat>
            <c:strRef>
              <c:f>Sheet3!$C$30:$C$33</c:f>
              <c:strCache>
                <c:ptCount val="3"/>
                <c:pt idx="0">
                  <c:v>Chennai</c:v>
                </c:pt>
                <c:pt idx="1">
                  <c:v>Coimbatore</c:v>
                </c:pt>
                <c:pt idx="2">
                  <c:v>Madurai</c:v>
                </c:pt>
              </c:strCache>
            </c:strRef>
          </c:cat>
          <c:val>
            <c:numRef>
              <c:f>Sheet3!$E$30:$E$33</c:f>
              <c:numCache>
                <c:formatCode>General</c:formatCode>
                <c:ptCount val="3"/>
                <c:pt idx="0">
                  <c:v>16000</c:v>
                </c:pt>
                <c:pt idx="1">
                  <c:v>12000</c:v>
                </c:pt>
                <c:pt idx="2">
                  <c:v>2000</c:v>
                </c:pt>
              </c:numCache>
            </c:numRef>
          </c:val>
        </c:ser>
        <c:ser>
          <c:idx val="2"/>
          <c:order val="2"/>
          <c:tx>
            <c:strRef>
              <c:f>Sheet3!$F$28:$F$29</c:f>
              <c:strCache>
                <c:ptCount val="1"/>
                <c:pt idx="0">
                  <c:v>Withdrawal</c:v>
                </c:pt>
              </c:strCache>
            </c:strRef>
          </c:tx>
          <c:spPr>
            <a:solidFill>
              <a:schemeClr val="accent3"/>
            </a:solidFill>
            <a:ln>
              <a:noFill/>
            </a:ln>
            <a:effectLst/>
          </c:spPr>
          <c:invertIfNegative val="0"/>
          <c:cat>
            <c:strRef>
              <c:f>Sheet3!$C$30:$C$33</c:f>
              <c:strCache>
                <c:ptCount val="3"/>
                <c:pt idx="0">
                  <c:v>Chennai</c:v>
                </c:pt>
                <c:pt idx="1">
                  <c:v>Coimbatore</c:v>
                </c:pt>
                <c:pt idx="2">
                  <c:v>Madurai</c:v>
                </c:pt>
              </c:strCache>
            </c:strRef>
          </c:cat>
          <c:val>
            <c:numRef>
              <c:f>Sheet3!$F$30:$F$33</c:f>
              <c:numCache>
                <c:formatCode>General</c:formatCode>
                <c:ptCount val="3"/>
                <c:pt idx="0">
                  <c:v>5500</c:v>
                </c:pt>
                <c:pt idx="1">
                  <c:v>16000</c:v>
                </c:pt>
                <c:pt idx="2">
                  <c:v>2500</c:v>
                </c:pt>
              </c:numCache>
            </c:numRef>
          </c:val>
        </c:ser>
        <c:dLbls>
          <c:showLegendKey val="0"/>
          <c:showVal val="0"/>
          <c:showCatName val="0"/>
          <c:showSerName val="0"/>
          <c:showPercent val="0"/>
          <c:showBubbleSize val="0"/>
        </c:dLbls>
        <c:gapWidth val="219"/>
        <c:overlap val="-27"/>
        <c:axId val="985585728"/>
        <c:axId val="985586272"/>
      </c:barChart>
      <c:catAx>
        <c:axId val="9855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86272"/>
        <c:crosses val="autoZero"/>
        <c:auto val="1"/>
        <c:lblAlgn val="ctr"/>
        <c:lblOffset val="100"/>
        <c:noMultiLvlLbl val="0"/>
      </c:catAx>
      <c:valAx>
        <c:axId val="9855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85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[Banking_MIS_Project.xlsx]Sheet3!PivotTable5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Sheet3!$D$28:$D$29</c:f>
              <c:strCache>
                <c:ptCount val="1"/>
                <c:pt idx="0">
                  <c:v>Deposit</c:v>
                </c:pt>
              </c:strCache>
            </c:strRef>
          </c:tx>
          <c:spPr>
            <a:solidFill>
              <a:schemeClr val="accent1"/>
            </a:solidFill>
            <a:ln>
              <a:noFill/>
            </a:ln>
            <a:effectLst/>
          </c:spPr>
          <c:invertIfNegative val="0"/>
          <c:cat>
            <c:strRef>
              <c:f>Sheet3!$C$30:$C$33</c:f>
              <c:strCache>
                <c:ptCount val="3"/>
                <c:pt idx="0">
                  <c:v>Chennai</c:v>
                </c:pt>
                <c:pt idx="1">
                  <c:v>Coimbatore</c:v>
                </c:pt>
                <c:pt idx="2">
                  <c:v>Madurai</c:v>
                </c:pt>
              </c:strCache>
            </c:strRef>
          </c:cat>
          <c:val>
            <c:numRef>
              <c:f>Sheet3!$D$30:$D$33</c:f>
              <c:numCache>
                <c:formatCode>General</c:formatCode>
                <c:ptCount val="3"/>
                <c:pt idx="0">
                  <c:v>39000</c:v>
                </c:pt>
                <c:pt idx="1">
                  <c:v>55000</c:v>
                </c:pt>
                <c:pt idx="2">
                  <c:v>8500</c:v>
                </c:pt>
              </c:numCache>
            </c:numRef>
          </c:val>
        </c:ser>
        <c:ser>
          <c:idx val="1"/>
          <c:order val="1"/>
          <c:tx>
            <c:strRef>
              <c:f>Sheet3!$E$28:$E$29</c:f>
              <c:strCache>
                <c:ptCount val="1"/>
                <c:pt idx="0">
                  <c:v>Transfer</c:v>
                </c:pt>
              </c:strCache>
            </c:strRef>
          </c:tx>
          <c:spPr>
            <a:solidFill>
              <a:schemeClr val="accent2"/>
            </a:solidFill>
            <a:ln>
              <a:noFill/>
            </a:ln>
            <a:effectLst/>
          </c:spPr>
          <c:invertIfNegative val="0"/>
          <c:cat>
            <c:strRef>
              <c:f>Sheet3!$C$30:$C$33</c:f>
              <c:strCache>
                <c:ptCount val="3"/>
                <c:pt idx="0">
                  <c:v>Chennai</c:v>
                </c:pt>
                <c:pt idx="1">
                  <c:v>Coimbatore</c:v>
                </c:pt>
                <c:pt idx="2">
                  <c:v>Madurai</c:v>
                </c:pt>
              </c:strCache>
            </c:strRef>
          </c:cat>
          <c:val>
            <c:numRef>
              <c:f>Sheet3!$E$30:$E$33</c:f>
              <c:numCache>
                <c:formatCode>General</c:formatCode>
                <c:ptCount val="3"/>
                <c:pt idx="0">
                  <c:v>16000</c:v>
                </c:pt>
                <c:pt idx="1">
                  <c:v>12000</c:v>
                </c:pt>
                <c:pt idx="2">
                  <c:v>2000</c:v>
                </c:pt>
              </c:numCache>
            </c:numRef>
          </c:val>
        </c:ser>
        <c:ser>
          <c:idx val="2"/>
          <c:order val="2"/>
          <c:tx>
            <c:strRef>
              <c:f>Sheet3!$F$28:$F$29</c:f>
              <c:strCache>
                <c:ptCount val="1"/>
                <c:pt idx="0">
                  <c:v>Withdrawal</c:v>
                </c:pt>
              </c:strCache>
            </c:strRef>
          </c:tx>
          <c:spPr>
            <a:solidFill>
              <a:schemeClr val="accent3"/>
            </a:solidFill>
            <a:ln>
              <a:noFill/>
            </a:ln>
            <a:effectLst/>
          </c:spPr>
          <c:invertIfNegative val="0"/>
          <c:cat>
            <c:strRef>
              <c:f>Sheet3!$C$30:$C$33</c:f>
              <c:strCache>
                <c:ptCount val="3"/>
                <c:pt idx="0">
                  <c:v>Chennai</c:v>
                </c:pt>
                <c:pt idx="1">
                  <c:v>Coimbatore</c:v>
                </c:pt>
                <c:pt idx="2">
                  <c:v>Madurai</c:v>
                </c:pt>
              </c:strCache>
            </c:strRef>
          </c:cat>
          <c:val>
            <c:numRef>
              <c:f>Sheet3!$F$30:$F$33</c:f>
              <c:numCache>
                <c:formatCode>General</c:formatCode>
                <c:ptCount val="3"/>
                <c:pt idx="0">
                  <c:v>5500</c:v>
                </c:pt>
                <c:pt idx="1">
                  <c:v>16000</c:v>
                </c:pt>
                <c:pt idx="2">
                  <c:v>2500</c:v>
                </c:pt>
              </c:numCache>
            </c:numRef>
          </c:val>
        </c:ser>
        <c:dLbls>
          <c:showLegendKey val="0"/>
          <c:showVal val="0"/>
          <c:showCatName val="0"/>
          <c:showSerName val="0"/>
          <c:showPercent val="0"/>
          <c:showBubbleSize val="0"/>
        </c:dLbls>
        <c:gapWidth val="219"/>
        <c:overlap val="-27"/>
        <c:axId val="985599328"/>
        <c:axId val="985595520"/>
      </c:barChart>
      <c:catAx>
        <c:axId val="98559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95520"/>
        <c:crosses val="autoZero"/>
        <c:auto val="1"/>
        <c:lblAlgn val="ctr"/>
        <c:lblOffset val="100"/>
        <c:noMultiLvlLbl val="0"/>
      </c:catAx>
      <c:valAx>
        <c:axId val="985595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599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990600</xdr:colOff>
      <xdr:row>10</xdr:row>
      <xdr:rowOff>9525</xdr:rowOff>
    </xdr:from>
    <xdr:to>
      <xdr:col>9</xdr:col>
      <xdr:colOff>723900</xdr:colOff>
      <xdr:row>24</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xdr:colOff>
      <xdr:row>0</xdr:row>
      <xdr:rowOff>0</xdr:rowOff>
    </xdr:from>
    <xdr:ext cx="8610600" cy="1782924"/>
    <xdr:sp macro="" textlink="">
      <xdr:nvSpPr>
        <xdr:cNvPr id="3" name="Rectangle 2"/>
        <xdr:cNvSpPr/>
      </xdr:nvSpPr>
      <xdr:spPr>
        <a:xfrm>
          <a:off x="1" y="0"/>
          <a:ext cx="8610600" cy="1782924"/>
        </a:xfrm>
        <a:prstGeom prst="rect">
          <a:avLst/>
        </a:prstGeom>
        <a:noFill/>
      </xdr:spPr>
      <xdr:txBody>
        <a:bodyPr wrap="square" lIns="91440" tIns="45720" rIns="91440" bIns="45720">
          <a:sp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BANKING OPERATIONS MIS DASHBOARD</a:t>
          </a:r>
        </a:p>
      </xdr:txBody>
    </xdr:sp>
    <xdr:clientData/>
  </xdr:oneCellAnchor>
  <xdr:twoCellAnchor editAs="oneCell">
    <xdr:from>
      <xdr:col>1</xdr:col>
      <xdr:colOff>0</xdr:colOff>
      <xdr:row>30</xdr:row>
      <xdr:rowOff>0</xdr:rowOff>
    </xdr:from>
    <xdr:to>
      <xdr:col>2</xdr:col>
      <xdr:colOff>742950</xdr:colOff>
      <xdr:row>43</xdr:row>
      <xdr:rowOff>47625</xdr:rowOff>
    </xdr:to>
    <mc:AlternateContent xmlns:mc="http://schemas.openxmlformats.org/markup-compatibility/2006">
      <mc:Choice xmlns:a14="http://schemas.microsoft.com/office/drawing/2010/main" Requires="a14">
        <xdr:graphicFrame macro="">
          <xdr:nvGraphicFramePr>
            <xdr:cNvPr id="4" name="Transaction ID"/>
            <xdr:cNvGraphicFramePr/>
          </xdr:nvGraphicFramePr>
          <xdr:xfrm>
            <a:off x="0" y="0"/>
            <a:ext cx="0" cy="0"/>
          </xdr:xfrm>
          <a:graphic>
            <a:graphicData uri="http://schemas.microsoft.com/office/drawing/2010/slicer">
              <sle:slicer xmlns:sle="http://schemas.microsoft.com/office/drawing/2010/slicer" name="Transaction ID"/>
            </a:graphicData>
          </a:graphic>
        </xdr:graphicFrame>
      </mc:Choice>
      <mc:Fallback>
        <xdr:sp macro="" textlink="">
          <xdr:nvSpPr>
            <xdr:cNvPr id="0" name=""/>
            <xdr:cNvSpPr>
              <a:spLocks noTextEdit="1"/>
            </xdr:cNvSpPr>
          </xdr:nvSpPr>
          <xdr:spPr>
            <a:xfrm>
              <a:off x="990600" y="571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952500</xdr:colOff>
      <xdr:row>34</xdr:row>
      <xdr:rowOff>9525</xdr:rowOff>
    </xdr:from>
    <xdr:to>
      <xdr:col>7</xdr:col>
      <xdr:colOff>352425</xdr:colOff>
      <xdr:row>47</xdr:row>
      <xdr:rowOff>57150</xdr:rowOff>
    </xdr:to>
    <mc:AlternateContent xmlns:mc="http://schemas.openxmlformats.org/markup-compatibility/2006">
      <mc:Choice xmlns:a14="http://schemas.microsoft.com/office/drawing/2010/main" Requires="a14">
        <xdr:graphicFrame macro="">
          <xdr:nvGraphicFramePr>
            <xdr:cNvPr id="5"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5019675" y="6486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800100</xdr:colOff>
      <xdr:row>34</xdr:row>
      <xdr:rowOff>85725</xdr:rowOff>
    </xdr:from>
    <xdr:to>
      <xdr:col>4</xdr:col>
      <xdr:colOff>952500</xdr:colOff>
      <xdr:row>40</xdr:row>
      <xdr:rowOff>128587</xdr:rowOff>
    </xdr:to>
    <xdr:cxnSp macro="">
      <xdr:nvCxnSpPr>
        <xdr:cNvPr id="7" name="Elbow Connector 6"/>
        <xdr:cNvCxnSpPr>
          <a:endCxn id="5" idx="1"/>
        </xdr:cNvCxnSpPr>
      </xdr:nvCxnSpPr>
      <xdr:spPr>
        <a:xfrm>
          <a:off x="2876550" y="6562725"/>
          <a:ext cx="2143125" cy="1185862"/>
        </a:xfrm>
        <a:prstGeom prst="bentConnector3">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423862</xdr:colOff>
      <xdr:row>34</xdr:row>
      <xdr:rowOff>33337</xdr:rowOff>
    </xdr:from>
    <xdr:to>
      <xdr:col>4</xdr:col>
      <xdr:colOff>557212</xdr:colOff>
      <xdr:row>48</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noj Kumar" refreshedDate="46171.902165856482" createdVersion="5" refreshedVersion="5" minRefreshableVersion="3" recordCount="20">
  <cacheSource type="worksheet">
    <worksheetSource name="Table2"/>
  </cacheSource>
  <cacheFields count="6">
    <cacheField name="Transaction ID" numFmtId="0">
      <sharedItems count="20">
        <s v="T1001"/>
        <s v="T1002"/>
        <s v="T1003"/>
        <s v="T1004"/>
        <s v="T1005"/>
        <s v="T1006"/>
        <s v="T1007"/>
        <s v="T1008"/>
        <s v="T1009"/>
        <s v="T1010"/>
        <s v="T1011"/>
        <s v="T1012"/>
        <s v="T1013"/>
        <s v="T1014"/>
        <s v="T1015"/>
        <s v="T1016"/>
        <s v="T1017"/>
        <s v="T1018"/>
        <s v="T1019"/>
        <s v="T1020"/>
      </sharedItems>
    </cacheField>
    <cacheField name="Customer ID" numFmtId="0">
      <sharedItems/>
    </cacheField>
    <cacheField name="Date" numFmtId="14">
      <sharedItems containsSemiMixedTypes="0" containsNonDate="0" containsDate="1" containsString="0" minDate="2026-05-01T00:00:00" maxDate="2026-05-17T00:00:00"/>
    </cacheField>
    <cacheField name="Transaction Type" numFmtId="0">
      <sharedItems count="3">
        <s v="Deposit"/>
        <s v="Withdrawal"/>
        <s v="Transfer"/>
      </sharedItems>
    </cacheField>
    <cacheField name="Amount" numFmtId="0">
      <sharedItems containsSemiMixedTypes="0" containsString="0" containsNumber="1" containsInteger="1" minValue="1000" maxValue="30000"/>
    </cacheField>
    <cacheField name="Branch" numFmtId="0">
      <sharedItems count="3">
        <s v="Chennai"/>
        <s v="Coimbatore"/>
        <s v="Madura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s v="C101"/>
    <d v="2026-05-01T00:00:00"/>
    <x v="0"/>
    <n v="10000"/>
    <x v="0"/>
  </r>
  <r>
    <x v="1"/>
    <s v="C101"/>
    <d v="2026-05-03T00:00:00"/>
    <x v="1"/>
    <n v="3000"/>
    <x v="0"/>
  </r>
  <r>
    <x v="2"/>
    <s v="C101"/>
    <d v="2026-05-05T00:00:00"/>
    <x v="2"/>
    <n v="5000"/>
    <x v="0"/>
  </r>
  <r>
    <x v="3"/>
    <s v="C102"/>
    <d v="2026-05-02T00:00:00"/>
    <x v="0"/>
    <n v="25000"/>
    <x v="1"/>
  </r>
  <r>
    <x v="4"/>
    <s v="C102"/>
    <d v="2026-05-04T00:00:00"/>
    <x v="1"/>
    <n v="7000"/>
    <x v="1"/>
  </r>
  <r>
    <x v="5"/>
    <s v="C102"/>
    <d v="2026-05-06T00:00:00"/>
    <x v="2"/>
    <n v="12000"/>
    <x v="1"/>
  </r>
  <r>
    <x v="6"/>
    <s v="C103"/>
    <d v="2026-05-01T00:00:00"/>
    <x v="0"/>
    <n v="5000"/>
    <x v="2"/>
  </r>
  <r>
    <x v="7"/>
    <s v="C103"/>
    <d v="2026-05-04T00:00:00"/>
    <x v="1"/>
    <n v="1000"/>
    <x v="2"/>
  </r>
  <r>
    <x v="8"/>
    <s v="C103"/>
    <d v="2026-05-07T00:00:00"/>
    <x v="2"/>
    <n v="2000"/>
    <x v="2"/>
  </r>
  <r>
    <x v="9"/>
    <s v="C104"/>
    <d v="2026-05-03T00:00:00"/>
    <x v="0"/>
    <n v="15000"/>
    <x v="0"/>
  </r>
  <r>
    <x v="10"/>
    <s v="C104"/>
    <d v="2026-05-05T00:00:00"/>
    <x v="1"/>
    <n v="2500"/>
    <x v="0"/>
  </r>
  <r>
    <x v="11"/>
    <s v="C104"/>
    <d v="2026-05-08T00:00:00"/>
    <x v="2"/>
    <n v="4000"/>
    <x v="0"/>
  </r>
  <r>
    <x v="12"/>
    <s v="C101"/>
    <d v="2026-05-09T00:00:00"/>
    <x v="0"/>
    <n v="8000"/>
    <x v="0"/>
  </r>
  <r>
    <x v="13"/>
    <s v="C102"/>
    <d v="2026-05-10T00:00:00"/>
    <x v="0"/>
    <n v="30000"/>
    <x v="1"/>
  </r>
  <r>
    <x v="14"/>
    <s v="C103"/>
    <d v="2026-05-11T00:00:00"/>
    <x v="1"/>
    <n v="1500"/>
    <x v="2"/>
  </r>
  <r>
    <x v="15"/>
    <s v="C104"/>
    <d v="2026-05-12T00:00:00"/>
    <x v="0"/>
    <n v="6000"/>
    <x v="0"/>
  </r>
  <r>
    <x v="16"/>
    <s v="C101"/>
    <d v="2026-05-13T00:00:00"/>
    <x v="2"/>
    <n v="4500"/>
    <x v="0"/>
  </r>
  <r>
    <x v="17"/>
    <s v="C102"/>
    <d v="2026-05-14T00:00:00"/>
    <x v="1"/>
    <n v="9000"/>
    <x v="1"/>
  </r>
  <r>
    <x v="18"/>
    <s v="C103"/>
    <d v="2026-05-15T00:00:00"/>
    <x v="0"/>
    <n v="3500"/>
    <x v="2"/>
  </r>
  <r>
    <x v="19"/>
    <s v="C104"/>
    <d v="2026-05-16T00:00:00"/>
    <x v="2"/>
    <n v="25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C28:G33" firstHeaderRow="1" firstDataRow="2" firstDataCol="1"/>
  <pivotFields count="6">
    <pivotField showAll="0">
      <items count="21">
        <item x="0"/>
        <item x="1"/>
        <item x="2"/>
        <item x="3"/>
        <item x="4"/>
        <item x="5"/>
        <item x="6"/>
        <item x="7"/>
        <item x="8"/>
        <item x="9"/>
        <item x="10"/>
        <item x="11"/>
        <item x="12"/>
        <item x="13"/>
        <item x="14"/>
        <item x="15"/>
        <item x="16"/>
        <item x="17"/>
        <item x="18"/>
        <item x="19"/>
        <item t="default"/>
      </items>
    </pivotField>
    <pivotField showAll="0"/>
    <pivotField numFmtId="14" showAll="0"/>
    <pivotField axis="axisCol" showAll="0">
      <items count="4">
        <item x="0"/>
        <item x="2"/>
        <item x="1"/>
        <item t="default"/>
      </items>
    </pivotField>
    <pivotField dataField="1" showAll="0"/>
    <pivotField axis="axisRow" showAll="0">
      <items count="4">
        <item x="0"/>
        <item x="1"/>
        <item x="2"/>
        <item t="default"/>
      </items>
    </pivotField>
  </pivotFields>
  <rowFields count="1">
    <field x="5"/>
  </rowFields>
  <rowItems count="4">
    <i>
      <x/>
    </i>
    <i>
      <x v="1"/>
    </i>
    <i>
      <x v="2"/>
    </i>
    <i t="grand">
      <x/>
    </i>
  </rowItems>
  <colFields count="1">
    <field x="3"/>
  </colFields>
  <colItems count="4">
    <i>
      <x/>
    </i>
    <i>
      <x v="1"/>
    </i>
    <i>
      <x v="2"/>
    </i>
    <i t="grand">
      <x/>
    </i>
  </colItems>
  <dataFields count="1">
    <dataField name="Sum of Amount" fld="4"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ransaction_ID" sourceName="Transaction ID">
  <pivotTables>
    <pivotTable tabId="3" name="PivotTable5"/>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3" name="PivotTable5"/>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ransaction ID" cache="Slicer_Transaction_ID" caption="Transaction ID" startItem="12" rowHeight="241300"/>
  <slicer name="Branch" cache="Slicer_Branch" caption="Branch" rowHeight="241300"/>
</slicers>
</file>

<file path=xl/tables/table1.xml><?xml version="1.0" encoding="utf-8"?>
<table xmlns="http://schemas.openxmlformats.org/spreadsheetml/2006/main" id="2" name="Table2" displayName="Table2" ref="A1:F21" totalsRowShown="0" headerRowDxfId="0" dataDxfId="1">
  <autoFilter ref="A1:F21"/>
  <tableColumns count="6">
    <tableColumn id="1" name="Transaction ID" dataDxfId="7"/>
    <tableColumn id="2" name="Customer ID" dataDxfId="6"/>
    <tableColumn id="3" name="Date" dataDxfId="5"/>
    <tableColumn id="4" name="Transaction Type" dataDxfId="4"/>
    <tableColumn id="5" name="Amount" dataDxfId="3"/>
    <tableColumn id="6" name="Branch"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C9" sqref="C9"/>
    </sheetView>
  </sheetViews>
  <sheetFormatPr defaultRowHeight="15" x14ac:dyDescent="0.25"/>
  <cols>
    <col min="1" max="1" width="10.5703125" customWidth="1"/>
    <col min="2" max="2" width="11" customWidth="1"/>
    <col min="4" max="4" width="12.140625" customWidth="1"/>
    <col min="8" max="8" width="11.5703125" customWidth="1"/>
  </cols>
  <sheetData>
    <row r="1" spans="1:8" ht="30" x14ac:dyDescent="0.25">
      <c r="A1" s="2" t="s">
        <v>0</v>
      </c>
      <c r="B1" s="3" t="s">
        <v>1</v>
      </c>
      <c r="C1" s="3" t="s">
        <v>2</v>
      </c>
      <c r="D1" s="3" t="s">
        <v>3</v>
      </c>
      <c r="E1" s="3" t="s">
        <v>4</v>
      </c>
      <c r="F1" s="3" t="s">
        <v>5</v>
      </c>
      <c r="G1" s="4" t="s">
        <v>6</v>
      </c>
      <c r="H1" s="1"/>
    </row>
    <row r="2" spans="1:8" x14ac:dyDescent="0.25">
      <c r="A2" s="5" t="s">
        <v>7</v>
      </c>
      <c r="B2" s="6" t="s">
        <v>8</v>
      </c>
      <c r="C2" s="6" t="s">
        <v>23</v>
      </c>
      <c r="D2" s="6" t="s">
        <v>9</v>
      </c>
      <c r="E2" s="6">
        <v>9840049</v>
      </c>
      <c r="F2" s="6">
        <v>45000</v>
      </c>
      <c r="G2" s="7" t="s">
        <v>10</v>
      </c>
    </row>
    <row r="3" spans="1:8" x14ac:dyDescent="0.25">
      <c r="A3" s="5" t="s">
        <v>11</v>
      </c>
      <c r="B3" s="6" t="s">
        <v>24</v>
      </c>
      <c r="C3" s="6" t="s">
        <v>12</v>
      </c>
      <c r="D3" s="6" t="s">
        <v>13</v>
      </c>
      <c r="E3" s="6">
        <v>9840047</v>
      </c>
      <c r="F3" s="6">
        <v>120000</v>
      </c>
      <c r="G3" s="7" t="s">
        <v>10</v>
      </c>
    </row>
    <row r="4" spans="1:8" x14ac:dyDescent="0.25">
      <c r="A4" s="5" t="s">
        <v>14</v>
      </c>
      <c r="B4" s="6" t="s">
        <v>15</v>
      </c>
      <c r="C4" s="6" t="s">
        <v>19</v>
      </c>
      <c r="D4" s="6" t="s">
        <v>16</v>
      </c>
      <c r="E4" s="8" t="s">
        <v>22</v>
      </c>
      <c r="F4" s="6">
        <v>15000</v>
      </c>
      <c r="G4" s="7" t="s">
        <v>20</v>
      </c>
    </row>
    <row r="5" spans="1:8" ht="15.75" thickBot="1" x14ac:dyDescent="0.3">
      <c r="A5" s="9" t="s">
        <v>17</v>
      </c>
      <c r="B5" s="10" t="s">
        <v>18</v>
      </c>
      <c r="C5" s="10" t="s">
        <v>23</v>
      </c>
      <c r="D5" s="10" t="s">
        <v>21</v>
      </c>
      <c r="E5" s="10">
        <v>9840045</v>
      </c>
      <c r="F5" s="11">
        <f ca="1">IF(F5&lt;0,0,F5)</f>
        <v>0</v>
      </c>
      <c r="G5" s="12" t="s">
        <v>10</v>
      </c>
    </row>
  </sheetData>
  <conditionalFormatting sqref="A1:G5">
    <cfRule type="cellIs" dxfId="8" priority="1" operator="lessThan">
      <formula>16000</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F56"/>
  <sheetViews>
    <sheetView tabSelected="1" topLeftCell="A46" workbookViewId="0">
      <selection activeCell="I62" sqref="I62"/>
    </sheetView>
  </sheetViews>
  <sheetFormatPr defaultRowHeight="15" x14ac:dyDescent="0.25"/>
  <cols>
    <col min="1" max="1" width="14.85546875" customWidth="1"/>
    <col min="2" max="2" width="16.28515625" bestFit="1" customWidth="1"/>
    <col min="3" max="3" width="17.140625" customWidth="1"/>
    <col min="4" max="4" width="12.7109375" customWidth="1"/>
    <col min="5" max="5" width="19.140625" customWidth="1"/>
    <col min="6" max="6" width="11.28515625" customWidth="1"/>
    <col min="7" max="9" width="6" customWidth="1"/>
    <col min="10" max="10" width="12.7109375" bestFit="1" customWidth="1"/>
    <col min="11" max="11" width="10.140625" bestFit="1" customWidth="1"/>
    <col min="12" max="15" width="5" customWidth="1"/>
    <col min="16" max="16" width="6" customWidth="1"/>
    <col min="17" max="18" width="13.28515625" bestFit="1" customWidth="1"/>
    <col min="19" max="23" width="5" customWidth="1"/>
    <col min="24" max="24" width="16.42578125" bestFit="1" customWidth="1"/>
    <col min="26" max="26" width="12.140625" bestFit="1" customWidth="1"/>
    <col min="27" max="27" width="11.28515625" bestFit="1" customWidth="1"/>
  </cols>
  <sheetData>
    <row r="5" spans="1:6" x14ac:dyDescent="0.25">
      <c r="A5" s="17"/>
      <c r="B5" s="18"/>
      <c r="C5" s="18"/>
      <c r="D5" s="18"/>
      <c r="E5" s="18"/>
      <c r="F5" s="18"/>
    </row>
    <row r="6" spans="1:6" x14ac:dyDescent="0.25">
      <c r="A6" s="17"/>
      <c r="B6" s="18"/>
      <c r="C6" s="18"/>
      <c r="D6" s="18"/>
      <c r="E6" s="18"/>
      <c r="F6" s="18"/>
    </row>
    <row r="7" spans="1:6" x14ac:dyDescent="0.25">
      <c r="A7" s="17"/>
      <c r="B7" s="18"/>
      <c r="C7" s="18"/>
      <c r="D7" s="18"/>
      <c r="E7" s="18"/>
      <c r="F7" s="18"/>
    </row>
    <row r="8" spans="1:6" x14ac:dyDescent="0.25">
      <c r="A8" s="17"/>
      <c r="B8" s="18"/>
      <c r="C8" s="18"/>
      <c r="D8" s="18"/>
      <c r="E8" s="18"/>
      <c r="F8" s="18"/>
    </row>
    <row r="9" spans="1:6" x14ac:dyDescent="0.25">
      <c r="A9" s="17"/>
      <c r="B9" s="18"/>
      <c r="C9" s="18"/>
      <c r="D9" s="18"/>
      <c r="E9" s="18"/>
      <c r="F9" s="18"/>
    </row>
    <row r="52" spans="3:3" ht="23.25" x14ac:dyDescent="0.25">
      <c r="C52" s="19" t="s">
        <v>56</v>
      </c>
    </row>
    <row r="54" spans="3:3" x14ac:dyDescent="0.25">
      <c r="C54" t="s">
        <v>57</v>
      </c>
    </row>
    <row r="55" spans="3:3" x14ac:dyDescent="0.25">
      <c r="C55" t="s">
        <v>58</v>
      </c>
    </row>
    <row r="56" spans="3:3" x14ac:dyDescent="0.25">
      <c r="C56" t="s">
        <v>59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opLeftCell="A10" workbookViewId="0">
      <selection activeCell="G39" sqref="G39"/>
    </sheetView>
  </sheetViews>
  <sheetFormatPr defaultRowHeight="15" x14ac:dyDescent="0.25"/>
  <cols>
    <col min="1" max="1" width="15.5703125" customWidth="1"/>
    <col min="2" max="2" width="14" customWidth="1"/>
    <col min="3" max="3" width="14.85546875" customWidth="1"/>
    <col min="4" max="4" width="16.28515625" customWidth="1"/>
    <col min="5" max="5" width="8.28515625" customWidth="1"/>
    <col min="6" max="6" width="11.42578125" customWidth="1"/>
    <col min="7" max="7" width="11.28515625" customWidth="1"/>
    <col min="8" max="8" width="16.28515625" bestFit="1" customWidth="1"/>
    <col min="9" max="9" width="8.28515625" customWidth="1"/>
    <col min="10" max="10" width="11.42578125" bestFit="1" customWidth="1"/>
    <col min="11" max="11" width="11.28515625" bestFit="1" customWidth="1"/>
  </cols>
  <sheetData>
    <row r="1" spans="1:6" ht="30" x14ac:dyDescent="0.25">
      <c r="A1" s="13" t="s">
        <v>25</v>
      </c>
      <c r="B1" s="13" t="s">
        <v>0</v>
      </c>
      <c r="C1" s="13" t="s">
        <v>26</v>
      </c>
      <c r="D1" s="13" t="s">
        <v>27</v>
      </c>
      <c r="E1" s="13" t="s">
        <v>28</v>
      </c>
      <c r="F1" s="13" t="s">
        <v>3</v>
      </c>
    </row>
    <row r="2" spans="1:6" x14ac:dyDescent="0.25">
      <c r="A2" s="14" t="s">
        <v>29</v>
      </c>
      <c r="B2" s="14" t="s">
        <v>7</v>
      </c>
      <c r="C2" s="15">
        <v>46143</v>
      </c>
      <c r="D2" s="14" t="s">
        <v>30</v>
      </c>
      <c r="E2" s="14">
        <v>10000</v>
      </c>
      <c r="F2" s="14" t="s">
        <v>9</v>
      </c>
    </row>
    <row r="3" spans="1:6" ht="30" x14ac:dyDescent="0.25">
      <c r="A3" s="14" t="s">
        <v>31</v>
      </c>
      <c r="B3" s="14" t="s">
        <v>7</v>
      </c>
      <c r="C3" s="15">
        <v>46145</v>
      </c>
      <c r="D3" s="14" t="s">
        <v>32</v>
      </c>
      <c r="E3" s="14">
        <v>3000</v>
      </c>
      <c r="F3" s="14" t="s">
        <v>9</v>
      </c>
    </row>
    <row r="4" spans="1:6" x14ac:dyDescent="0.25">
      <c r="A4" s="14" t="s">
        <v>33</v>
      </c>
      <c r="B4" s="14" t="s">
        <v>7</v>
      </c>
      <c r="C4" s="15">
        <v>46147</v>
      </c>
      <c r="D4" s="14" t="s">
        <v>34</v>
      </c>
      <c r="E4" s="14">
        <v>5000</v>
      </c>
      <c r="F4" s="14" t="s">
        <v>9</v>
      </c>
    </row>
    <row r="5" spans="1:6" ht="30" x14ac:dyDescent="0.25">
      <c r="A5" s="14" t="s">
        <v>35</v>
      </c>
      <c r="B5" s="14" t="s">
        <v>11</v>
      </c>
      <c r="C5" s="15">
        <v>46144</v>
      </c>
      <c r="D5" s="14" t="s">
        <v>30</v>
      </c>
      <c r="E5" s="14">
        <v>25000</v>
      </c>
      <c r="F5" s="14" t="s">
        <v>13</v>
      </c>
    </row>
    <row r="6" spans="1:6" ht="30" x14ac:dyDescent="0.25">
      <c r="A6" s="14" t="s">
        <v>36</v>
      </c>
      <c r="B6" s="14" t="s">
        <v>11</v>
      </c>
      <c r="C6" s="15">
        <v>46146</v>
      </c>
      <c r="D6" s="14" t="s">
        <v>32</v>
      </c>
      <c r="E6" s="14">
        <v>7000</v>
      </c>
      <c r="F6" s="14" t="s">
        <v>13</v>
      </c>
    </row>
    <row r="7" spans="1:6" ht="30" x14ac:dyDescent="0.25">
      <c r="A7" s="14" t="s">
        <v>37</v>
      </c>
      <c r="B7" s="14" t="s">
        <v>11</v>
      </c>
      <c r="C7" s="15">
        <v>46148</v>
      </c>
      <c r="D7" s="14" t="s">
        <v>34</v>
      </c>
      <c r="E7" s="14">
        <v>12000</v>
      </c>
      <c r="F7" s="14" t="s">
        <v>13</v>
      </c>
    </row>
    <row r="8" spans="1:6" x14ac:dyDescent="0.25">
      <c r="A8" s="14" t="s">
        <v>38</v>
      </c>
      <c r="B8" s="14" t="s">
        <v>14</v>
      </c>
      <c r="C8" s="15">
        <v>46143</v>
      </c>
      <c r="D8" s="14" t="s">
        <v>30</v>
      </c>
      <c r="E8" s="14">
        <v>5000</v>
      </c>
      <c r="F8" s="14" t="s">
        <v>16</v>
      </c>
    </row>
    <row r="9" spans="1:6" ht="30" x14ac:dyDescent="0.25">
      <c r="A9" s="14" t="s">
        <v>39</v>
      </c>
      <c r="B9" s="14" t="s">
        <v>14</v>
      </c>
      <c r="C9" s="15">
        <v>46146</v>
      </c>
      <c r="D9" s="14" t="s">
        <v>32</v>
      </c>
      <c r="E9" s="14">
        <v>1000</v>
      </c>
      <c r="F9" s="14" t="s">
        <v>16</v>
      </c>
    </row>
    <row r="10" spans="1:6" x14ac:dyDescent="0.25">
      <c r="A10" s="14" t="s">
        <v>40</v>
      </c>
      <c r="B10" s="14" t="s">
        <v>14</v>
      </c>
      <c r="C10" s="15">
        <v>46149</v>
      </c>
      <c r="D10" s="14" t="s">
        <v>34</v>
      </c>
      <c r="E10" s="14">
        <v>2000</v>
      </c>
      <c r="F10" s="14" t="s">
        <v>16</v>
      </c>
    </row>
    <row r="11" spans="1:6" x14ac:dyDescent="0.25">
      <c r="A11" s="14" t="s">
        <v>41</v>
      </c>
      <c r="B11" s="14" t="s">
        <v>17</v>
      </c>
      <c r="C11" s="15">
        <v>46145</v>
      </c>
      <c r="D11" s="14" t="s">
        <v>30</v>
      </c>
      <c r="E11" s="14">
        <v>15000</v>
      </c>
      <c r="F11" s="14" t="s">
        <v>9</v>
      </c>
    </row>
    <row r="12" spans="1:6" ht="30" x14ac:dyDescent="0.25">
      <c r="A12" s="14" t="s">
        <v>42</v>
      </c>
      <c r="B12" s="14" t="s">
        <v>17</v>
      </c>
      <c r="C12" s="15">
        <v>46147</v>
      </c>
      <c r="D12" s="14" t="s">
        <v>32</v>
      </c>
      <c r="E12" s="14">
        <v>2500</v>
      </c>
      <c r="F12" s="14" t="s">
        <v>9</v>
      </c>
    </row>
    <row r="13" spans="1:6" x14ac:dyDescent="0.25">
      <c r="A13" s="14" t="s">
        <v>43</v>
      </c>
      <c r="B13" s="14" t="s">
        <v>17</v>
      </c>
      <c r="C13" s="15">
        <v>46150</v>
      </c>
      <c r="D13" s="14" t="s">
        <v>34</v>
      </c>
      <c r="E13" s="14">
        <v>4000</v>
      </c>
      <c r="F13" s="14" t="s">
        <v>9</v>
      </c>
    </row>
    <row r="14" spans="1:6" x14ac:dyDescent="0.25">
      <c r="A14" s="14" t="s">
        <v>44</v>
      </c>
      <c r="B14" s="14" t="s">
        <v>7</v>
      </c>
      <c r="C14" s="15">
        <v>46151</v>
      </c>
      <c r="D14" s="14" t="s">
        <v>30</v>
      </c>
      <c r="E14" s="14">
        <v>8000</v>
      </c>
      <c r="F14" s="14" t="s">
        <v>9</v>
      </c>
    </row>
    <row r="15" spans="1:6" ht="30" x14ac:dyDescent="0.25">
      <c r="A15" s="14" t="s">
        <v>45</v>
      </c>
      <c r="B15" s="14" t="s">
        <v>11</v>
      </c>
      <c r="C15" s="15">
        <v>46152</v>
      </c>
      <c r="D15" s="14" t="s">
        <v>30</v>
      </c>
      <c r="E15" s="14">
        <v>30000</v>
      </c>
      <c r="F15" s="14" t="s">
        <v>13</v>
      </c>
    </row>
    <row r="16" spans="1:6" ht="30" x14ac:dyDescent="0.25">
      <c r="A16" s="14" t="s">
        <v>46</v>
      </c>
      <c r="B16" s="14" t="s">
        <v>14</v>
      </c>
      <c r="C16" s="15">
        <v>46153</v>
      </c>
      <c r="D16" s="14" t="s">
        <v>32</v>
      </c>
      <c r="E16" s="14">
        <v>1500</v>
      </c>
      <c r="F16" s="14" t="s">
        <v>16</v>
      </c>
    </row>
    <row r="17" spans="1:11" x14ac:dyDescent="0.25">
      <c r="A17" s="14" t="s">
        <v>47</v>
      </c>
      <c r="B17" s="14" t="s">
        <v>17</v>
      </c>
      <c r="C17" s="15">
        <v>46154</v>
      </c>
      <c r="D17" s="14" t="s">
        <v>30</v>
      </c>
      <c r="E17" s="14">
        <v>6000</v>
      </c>
      <c r="F17" s="14" t="s">
        <v>9</v>
      </c>
    </row>
    <row r="18" spans="1:11" x14ac:dyDescent="0.25">
      <c r="A18" s="14" t="s">
        <v>48</v>
      </c>
      <c r="B18" s="14" t="s">
        <v>7</v>
      </c>
      <c r="C18" s="15">
        <v>46155</v>
      </c>
      <c r="D18" s="14" t="s">
        <v>34</v>
      </c>
      <c r="E18" s="14">
        <v>4500</v>
      </c>
      <c r="F18" s="14" t="s">
        <v>9</v>
      </c>
    </row>
    <row r="19" spans="1:11" ht="30" x14ac:dyDescent="0.25">
      <c r="A19" s="14" t="s">
        <v>49</v>
      </c>
      <c r="B19" s="14" t="s">
        <v>11</v>
      </c>
      <c r="C19" s="15">
        <v>46156</v>
      </c>
      <c r="D19" s="14" t="s">
        <v>32</v>
      </c>
      <c r="E19" s="14">
        <v>9000</v>
      </c>
      <c r="F19" s="14" t="s">
        <v>13</v>
      </c>
    </row>
    <row r="20" spans="1:11" x14ac:dyDescent="0.25">
      <c r="A20" s="14" t="s">
        <v>50</v>
      </c>
      <c r="B20" s="14" t="s">
        <v>14</v>
      </c>
      <c r="C20" s="15">
        <v>46157</v>
      </c>
      <c r="D20" s="14" t="s">
        <v>30</v>
      </c>
      <c r="E20" s="14">
        <v>3500</v>
      </c>
      <c r="F20" s="14" t="s">
        <v>16</v>
      </c>
    </row>
    <row r="21" spans="1:11" x14ac:dyDescent="0.25">
      <c r="A21" s="14" t="s">
        <v>51</v>
      </c>
      <c r="B21" s="14" t="s">
        <v>17</v>
      </c>
      <c r="C21" s="15">
        <v>46158</v>
      </c>
      <c r="D21" s="14" t="s">
        <v>34</v>
      </c>
      <c r="E21" s="14">
        <v>2500</v>
      </c>
      <c r="F21" s="14" t="s">
        <v>9</v>
      </c>
    </row>
    <row r="23" spans="1:11" x14ac:dyDescent="0.25">
      <c r="G23" s="17"/>
      <c r="H23" s="18"/>
      <c r="I23" s="18"/>
      <c r="J23" s="18"/>
      <c r="K23" s="18"/>
    </row>
    <row r="24" spans="1:11" x14ac:dyDescent="0.25">
      <c r="G24" s="17"/>
      <c r="H24" s="18"/>
      <c r="I24" s="18"/>
      <c r="J24" s="18"/>
      <c r="K24" s="18"/>
    </row>
    <row r="25" spans="1:11" x14ac:dyDescent="0.25">
      <c r="G25" s="17"/>
      <c r="H25" s="18"/>
      <c r="I25" s="18"/>
      <c r="J25" s="18"/>
      <c r="K25" s="18"/>
    </row>
    <row r="26" spans="1:11" x14ac:dyDescent="0.25">
      <c r="G26" s="17"/>
      <c r="H26" s="18"/>
      <c r="I26" s="18"/>
      <c r="J26" s="18"/>
      <c r="K26" s="18"/>
    </row>
    <row r="28" spans="1:11" x14ac:dyDescent="0.25">
      <c r="C28" s="16" t="s">
        <v>55</v>
      </c>
      <c r="D28" s="16" t="s">
        <v>54</v>
      </c>
    </row>
    <row r="29" spans="1:11" x14ac:dyDescent="0.25">
      <c r="C29" s="16" t="s">
        <v>52</v>
      </c>
      <c r="D29" t="s">
        <v>30</v>
      </c>
      <c r="E29" t="s">
        <v>34</v>
      </c>
      <c r="F29" t="s">
        <v>32</v>
      </c>
      <c r="G29" t="s">
        <v>53</v>
      </c>
    </row>
    <row r="30" spans="1:11" x14ac:dyDescent="0.25">
      <c r="C30" s="17" t="s">
        <v>9</v>
      </c>
      <c r="D30" s="18">
        <v>39000</v>
      </c>
      <c r="E30" s="18">
        <v>16000</v>
      </c>
      <c r="F30" s="18">
        <v>5500</v>
      </c>
      <c r="G30" s="18">
        <v>60500</v>
      </c>
    </row>
    <row r="31" spans="1:11" x14ac:dyDescent="0.25">
      <c r="C31" s="17" t="s">
        <v>13</v>
      </c>
      <c r="D31" s="18">
        <v>55000</v>
      </c>
      <c r="E31" s="18">
        <v>12000</v>
      </c>
      <c r="F31" s="18">
        <v>16000</v>
      </c>
      <c r="G31" s="18">
        <v>83000</v>
      </c>
    </row>
    <row r="32" spans="1:11" x14ac:dyDescent="0.25">
      <c r="C32" s="17" t="s">
        <v>16</v>
      </c>
      <c r="D32" s="18">
        <v>8500</v>
      </c>
      <c r="E32" s="18">
        <v>2000</v>
      </c>
      <c r="F32" s="18">
        <v>2500</v>
      </c>
      <c r="G32" s="18">
        <v>13000</v>
      </c>
    </row>
    <row r="33" spans="3:7" x14ac:dyDescent="0.25">
      <c r="C33" s="17" t="s">
        <v>53</v>
      </c>
      <c r="D33" s="18">
        <v>102500</v>
      </c>
      <c r="E33" s="18">
        <v>30000</v>
      </c>
      <c r="F33" s="18">
        <v>24000</v>
      </c>
      <c r="G33" s="18">
        <v>156500</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Sheet5</vt:lpstr>
      <vt:lpstr>Sheet3</vt:lpstr>
    </vt:vector>
  </TitlesOfParts>
  <Company>rg-adguard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dc:creator>
  <cp:lastModifiedBy>Manoj Kumar</cp:lastModifiedBy>
  <dcterms:created xsi:type="dcterms:W3CDTF">2026-05-29T13:41:27Z</dcterms:created>
  <dcterms:modified xsi:type="dcterms:W3CDTF">2026-05-29T16:44:14Z</dcterms:modified>
</cp:coreProperties>
</file>